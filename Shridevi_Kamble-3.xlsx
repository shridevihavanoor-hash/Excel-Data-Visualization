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E:\tutedude-Shridevi\Assignment-3-SJK\"/>
    </mc:Choice>
  </mc:AlternateContent>
  <xr:revisionPtr revIDLastSave="0" documentId="13_ncr:1_{546C2A48-8B55-48B7-9F2C-06C521773BB3}" xr6:coauthVersionLast="47" xr6:coauthVersionMax="47" xr10:uidLastSave="{00000000-0000-0000-0000-000000000000}"/>
  <bookViews>
    <workbookView xWindow="-108" yWindow="-108" windowWidth="23256" windowHeight="12456" activeTab="1" xr2:uid="{9E1D216D-2CE1-43CA-ADBE-F58AED02383E}"/>
  </bookViews>
  <sheets>
    <sheet name="PiVot Table" sheetId="2" r:id="rId1"/>
    <sheet name="Assignment-3-SJK" sheetId="1" r:id="rId2"/>
  </sheets>
  <calcPr calcId="191029"/>
  <pivotCaches>
    <pivotCache cacheId="36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26" i="1" l="1"/>
  <c r="H27" i="1"/>
  <c r="H28" i="1"/>
  <c r="H25" i="1"/>
  <c r="G16" i="1"/>
  <c r="G17" i="1"/>
  <c r="G15" i="1"/>
  <c r="I26" i="1" l="1"/>
  <c r="I28" i="1"/>
  <c r="I25" i="1"/>
  <c r="I27" i="1"/>
</calcChain>
</file>

<file path=xl/sharedStrings.xml><?xml version="1.0" encoding="utf-8"?>
<sst xmlns="http://schemas.openxmlformats.org/spreadsheetml/2006/main" count="172" uniqueCount="31">
  <si>
    <t>Month</t>
  </si>
  <si>
    <t>Product</t>
  </si>
  <si>
    <t>Region</t>
  </si>
  <si>
    <t>Sales</t>
  </si>
  <si>
    <t>Profit</t>
  </si>
  <si>
    <t>January</t>
  </si>
  <si>
    <t>Product A</t>
  </si>
  <si>
    <t>North</t>
  </si>
  <si>
    <t>February</t>
  </si>
  <si>
    <t>Product B</t>
  </si>
  <si>
    <t>East</t>
  </si>
  <si>
    <t>March</t>
  </si>
  <si>
    <t>Product C</t>
  </si>
  <si>
    <t>South</t>
  </si>
  <si>
    <t>April</t>
  </si>
  <si>
    <t>May</t>
  </si>
  <si>
    <t>West</t>
  </si>
  <si>
    <t>June</t>
  </si>
  <si>
    <t>k</t>
  </si>
  <si>
    <t>Sum of Sales</t>
  </si>
  <si>
    <t>1. Bar Chart (Monthly Sales)</t>
  </si>
  <si>
    <r>
      <t> </t>
    </r>
    <r>
      <rPr>
        <b/>
        <sz val="11"/>
        <color rgb="FF000000"/>
        <rFont val="Arial"/>
        <family val="2"/>
      </rPr>
      <t>2. Column Chart (Product Profit Comparison)</t>
    </r>
  </si>
  <si>
    <t>Totalprofit</t>
  </si>
  <si>
    <t>3. Pie Chart (Sales by Region)</t>
  </si>
  <si>
    <t xml:space="preserve"> Sales of Region</t>
  </si>
  <si>
    <t>Percentage of Sales Region</t>
  </si>
  <si>
    <t>4. Line Chart (Sales Trend)</t>
  </si>
  <si>
    <t>  5. Scatter Plot (Sales vs. Profit)</t>
  </si>
  <si>
    <r>
      <t> </t>
    </r>
    <r>
      <rPr>
        <sz val="11"/>
        <color rgb="FF000000"/>
        <rFont val="Arial"/>
        <family val="2"/>
      </rPr>
      <t>6. Pivot Table (Total Sales by Region)</t>
    </r>
  </si>
  <si>
    <t>Row Labels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</si>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</sst>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rgb="FF000000"/>
      <name val="Times New Roman"/>
      <family val="1"/>
    </font>
    <font>
      <sz val="11"/>
      <color rgb="FF000000"/>
      <name val="Times New Roman"/>
      <family val="1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6.95"/>
      <color rgb="FF000000"/>
      <name val="Arial"/>
      <family val="2"/>
    </font>
    <font>
      <sz val="11"/>
      <color rgb="FF000000"/>
      <name val="Arial"/>
      <family val="2"/>
    </font>
    <font>
      <b/>
      <sz val="6.95"/>
      <color rgb="FF000000"/>
      <name val="Arial"/>
      <family val="2"/>
    </font>
    <font>
      <b/>
      <sz val="11"/>
      <color rgb="FF000000"/>
      <name val="Arial"/>
      <family val="2"/>
    </font>
    <font>
      <b/>
      <sz val="10"/>
      <color rgb="FF0C274A"/>
      <name val="Segoe UI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19">
    <xf numFmtId="0" fontId="0" fillId="0" borderId="0" xfId="0"/>
    <xf numFmtId="0" fontId="1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0" fillId="0" borderId="2" xfId="0" applyBorder="1"/>
    <xf numFmtId="0" fontId="1" fillId="0" borderId="2" xfId="0" applyFont="1" applyBorder="1" applyAlignment="1">
      <alignment vertical="center" wrapText="1"/>
    </xf>
    <xf numFmtId="9" fontId="0" fillId="0" borderId="2" xfId="1" applyFont="1" applyBorder="1"/>
    <xf numFmtId="9" fontId="6" fillId="0" borderId="2" xfId="1" applyFont="1" applyBorder="1" applyAlignment="1">
      <alignment wrapText="1"/>
    </xf>
    <xf numFmtId="0" fontId="0" fillId="0" borderId="0" xfId="0" pivotButton="1"/>
    <xf numFmtId="0" fontId="0" fillId="0" borderId="0" xfId="0" applyAlignment="1">
      <alignment horizontal="left"/>
    </xf>
    <xf numFmtId="0" fontId="4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5" fillId="0" borderId="0" xfId="0" applyFont="1" applyAlignment="1">
      <alignment horizontal="center" vertical="center"/>
    </xf>
    <xf numFmtId="0" fontId="0" fillId="0" borderId="0" xfId="0" applyBorder="1"/>
    <xf numFmtId="0" fontId="2" fillId="0" borderId="0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2" fillId="0" borderId="5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Monthly Sales Bar Chart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'Assignment-3-SJK'!$D$3</c:f>
              <c:strCache>
                <c:ptCount val="1"/>
                <c:pt idx="0">
                  <c:v>Sales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'Assignment-3-SJK'!$A$4:$C$9</c15:sqref>
                  </c15:fullRef>
                  <c15:levelRef>
                    <c15:sqref>'Assignment-3-SJK'!$A$4:$A$9</c15:sqref>
                  </c15:levelRef>
                </c:ext>
              </c:extLst>
              <c:f>'Assignment-3-SJK'!$A$4:$A$9</c:f>
              <c:strCache>
                <c:ptCount val="6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</c:strCache>
            </c:strRef>
          </c:cat>
          <c:val>
            <c:numRef>
              <c:f>'Assignment-3-SJK'!$D$4:$D$9</c:f>
              <c:numCache>
                <c:formatCode>General</c:formatCode>
                <c:ptCount val="6"/>
                <c:pt idx="0">
                  <c:v>5000</c:v>
                </c:pt>
                <c:pt idx="1">
                  <c:v>4000</c:v>
                </c:pt>
                <c:pt idx="2">
                  <c:v>6000</c:v>
                </c:pt>
                <c:pt idx="3">
                  <c:v>7000</c:v>
                </c:pt>
                <c:pt idx="4">
                  <c:v>8000</c:v>
                </c:pt>
                <c:pt idx="5">
                  <c:v>9000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D4A-4914-AC46-CD0024B1CFF2}"/>
            </c:ext>
          </c:extLst>
        </c:ser>
        <c:ser>
          <c:idx val="1"/>
          <c:order val="1"/>
          <c:tx>
            <c:strRef>
              <c:f>'Assignment-3-SJK'!$E$3</c:f>
              <c:strCache>
                <c:ptCount val="1"/>
                <c:pt idx="0">
                  <c:v>Profit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'Assignment-3-SJK'!$A$4:$C$9</c15:sqref>
                  </c15:fullRef>
                  <c15:levelRef>
                    <c15:sqref>'Assignment-3-SJK'!$A$4:$A$9</c15:sqref>
                  </c15:levelRef>
                </c:ext>
              </c:extLst>
              <c:f>'Assignment-3-SJK'!$A$4:$A$9</c:f>
              <c:strCache>
                <c:ptCount val="6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</c:strCache>
            </c:strRef>
          </c:cat>
          <c:val>
            <c:numRef>
              <c:f>'Assignment-3-SJK'!$E$4:$E$9</c:f>
              <c:numCache>
                <c:formatCode>General</c:formatCode>
                <c:ptCount val="6"/>
                <c:pt idx="0">
                  <c:v>2000</c:v>
                </c:pt>
                <c:pt idx="1">
                  <c:v>1500</c:v>
                </c:pt>
                <c:pt idx="2">
                  <c:v>2500</c:v>
                </c:pt>
                <c:pt idx="3">
                  <c:v>3000</c:v>
                </c:pt>
                <c:pt idx="4">
                  <c:v>3500</c:v>
                </c:pt>
                <c:pt idx="5">
                  <c:v>4000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D4A-4914-AC46-CD0024B1CF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857626624"/>
        <c:axId val="857625664"/>
      </c:barChart>
      <c:catAx>
        <c:axId val="85762662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Month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7625664"/>
        <c:crosses val="autoZero"/>
        <c:auto val="1"/>
        <c:lblAlgn val="ctr"/>
        <c:lblOffset val="100"/>
        <c:noMultiLvlLbl val="0"/>
      </c:catAx>
      <c:valAx>
        <c:axId val="857625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Sales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76266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'Assignment-3-SJK'!$G$14</c:f>
              <c:strCache>
                <c:ptCount val="1"/>
                <c:pt idx="0">
                  <c:v>Totalprofit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'Assignment-3-SJK'!$F$15:$F$17</c:f>
              <c:strCache>
                <c:ptCount val="3"/>
                <c:pt idx="0">
                  <c:v>Product A</c:v>
                </c:pt>
                <c:pt idx="1">
                  <c:v>Product B</c:v>
                </c:pt>
                <c:pt idx="2">
                  <c:v>Product C</c:v>
                </c:pt>
              </c:strCache>
            </c:strRef>
          </c:cat>
          <c:val>
            <c:numRef>
              <c:f>'Assignment-3-SJK'!$G$15:$G$17</c:f>
              <c:numCache>
                <c:formatCode>General</c:formatCode>
                <c:ptCount val="3"/>
                <c:pt idx="0">
                  <c:v>5000</c:v>
                </c:pt>
                <c:pt idx="1">
                  <c:v>5000</c:v>
                </c:pt>
                <c:pt idx="2">
                  <c:v>6500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818-4597-9569-602932DA0A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95843248"/>
        <c:axId val="1095842768"/>
      </c:barChart>
      <c:catAx>
        <c:axId val="109584324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000" b="0" i="0" u="none" strike="noStrike" baseline="0">
                    <a:effectLst/>
                  </a:rPr>
                  <a:t>Product 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5842768"/>
        <c:crosses val="autoZero"/>
        <c:auto val="1"/>
        <c:lblAlgn val="ctr"/>
        <c:lblOffset val="100"/>
        <c:noMultiLvlLbl val="0"/>
      </c:catAx>
      <c:valAx>
        <c:axId val="1095842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000" b="0" i="0" u="none" strike="noStrike" baseline="0">
                    <a:effectLst/>
                  </a:rPr>
                  <a:t>Profit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58432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'Assignment-3-SJK'!$H$24</c:f>
              <c:strCache>
                <c:ptCount val="1"/>
                <c:pt idx="0">
                  <c:v> Sales of Region</c:v>
                </c:pt>
              </c:strCache>
            </c:strRef>
          </c:tx>
          <c:explosion val="1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BFE-4946-8CB9-A0252177EFE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BFE-4946-8CB9-A0252177EFE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DBFE-4946-8CB9-A0252177EFE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DBFE-4946-8CB9-A0252177EFE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'Assignment-3-SJK'!$G$25:$G$28</c:f>
              <c:strCache>
                <c:ptCount val="4"/>
                <c:pt idx="0">
                  <c:v>North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'Assignment-3-SJK'!$H$25:$H$28</c:f>
              <c:numCache>
                <c:formatCode>General</c:formatCode>
                <c:ptCount val="4"/>
                <c:pt idx="0">
                  <c:v>12000</c:v>
                </c:pt>
                <c:pt idx="1">
                  <c:v>13000</c:v>
                </c:pt>
                <c:pt idx="2">
                  <c:v>6000</c:v>
                </c:pt>
                <c:pt idx="3">
                  <c:v>8000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DDB-4619-BD07-E8568129C17E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0"/>
        </c:dLbls>
        <c:firstSliceAng val="1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baseline="0">
                <a:effectLst/>
              </a:rPr>
              <a:t>illustrate the trend of Sales over the six months.</a:t>
            </a:r>
            <a:endParaRPr lang="en-IN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'Assignment-3-SJK'!$G$35</c:f>
              <c:strCache>
                <c:ptCount val="1"/>
                <c:pt idx="0">
                  <c:v>Sales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'Assignment-3-SJK'!$F$36:$F$41</c:f>
              <c:strCache>
                <c:ptCount val="6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</c:strCache>
            </c:strRef>
          </c:cat>
          <c:val>
            <c:numRef>
              <c:f>'Assignment-3-SJK'!$G$36:$G$41</c:f>
              <c:numCache>
                <c:formatCode>General</c:formatCode>
                <c:ptCount val="6"/>
                <c:pt idx="0">
                  <c:v>5000</c:v>
                </c:pt>
                <c:pt idx="1">
                  <c:v>4000</c:v>
                </c:pt>
                <c:pt idx="2">
                  <c:v>6000</c:v>
                </c:pt>
                <c:pt idx="3">
                  <c:v>7000</c:v>
                </c:pt>
                <c:pt idx="4">
                  <c:v>8000</c:v>
                </c:pt>
                <c:pt idx="5">
                  <c:v>9000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820-409B-AEA3-309EB6E394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02631728"/>
        <c:axId val="1102630288"/>
      </c:lineChart>
      <c:catAx>
        <c:axId val="11026317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2630288"/>
        <c:crosses val="autoZero"/>
        <c:auto val="1"/>
        <c:lblAlgn val="ctr"/>
        <c:lblOffset val="100"/>
        <c:noMultiLvlLbl val="0"/>
      </c:catAx>
      <c:valAx>
        <c:axId val="1102630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26317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/>
              <a:t>Scatter Plot (Sales vs. Profit)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'Assignment-3-SJK'!$E$46</c:f>
              <c:strCache>
                <c:ptCount val="1"/>
                <c:pt idx="0">
                  <c:v>Profit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'Assignment-3-SJK'!$D$47:$D$52</c:f>
              <c:numCache>
                <c:formatCode>General</c:formatCode>
                <c:ptCount val="6"/>
                <c:pt idx="0">
                  <c:v>5000</c:v>
                </c:pt>
                <c:pt idx="1">
                  <c:v>4000</c:v>
                </c:pt>
                <c:pt idx="2">
                  <c:v>6000</c:v>
                </c:pt>
                <c:pt idx="3">
                  <c:v>7000</c:v>
                </c:pt>
                <c:pt idx="4">
                  <c:v>8000</c:v>
                </c:pt>
                <c:pt idx="5">
                  <c:v>9000</c:v>
                </c:pt>
              </c:numCache>
            </c:numRef>
          </c:xVal>
          <c:yVal>
            <c:numRef>
              <c:f>'Assignment-3-SJK'!$E$47:$E$52</c:f>
              <c:numCache>
                <c:formatCode>General</c:formatCode>
                <c:ptCount val="6"/>
                <c:pt idx="0">
                  <c:v>2000</c:v>
                </c:pt>
                <c:pt idx="1">
                  <c:v>1500</c:v>
                </c:pt>
                <c:pt idx="2">
                  <c:v>2500</c:v>
                </c:pt>
                <c:pt idx="3">
                  <c:v>3000</c:v>
                </c:pt>
                <c:pt idx="4">
                  <c:v>3500</c:v>
                </c:pt>
                <c:pt idx="5">
                  <c:v>4000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10F-4A8A-9516-B5C8D1225E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61690880"/>
        <c:axId val="961676480"/>
      </c:scatterChart>
      <c:valAx>
        <c:axId val="9616908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000" b="0" i="0" u="none" strike="noStrike" baseline="0">
                    <a:effectLst/>
                  </a:rPr>
                  <a:t>Sales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1676480"/>
        <c:crosses val="autoZero"/>
        <c:crossBetween val="midCat"/>
      </c:valAx>
      <c:valAx>
        <c:axId val="9616764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000" b="0" i="0" u="none" strike="noStrike" baseline="0">
                    <a:effectLst/>
                  </a:rPr>
                  <a:t>Profit Scatter Plot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16908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image" Target="../media/image1.png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182880</xdr:colOff>
      <xdr:row>2</xdr:row>
      <xdr:rowOff>22860</xdr:rowOff>
    </xdr:from>
    <xdr:to>
      <xdr:col>11</xdr:col>
      <xdr:colOff>548640</xdr:colOff>
      <xdr:row>8</xdr:row>
      <xdr:rowOff>198120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0B91FBA-4DB8-9ABD-4D92-4D026E08B2D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53340</xdr:colOff>
      <xdr:row>14</xdr:row>
      <xdr:rowOff>30480</xdr:rowOff>
    </xdr:from>
    <xdr:to>
      <xdr:col>12</xdr:col>
      <xdr:colOff>220980</xdr:colOff>
      <xdr:row>19</xdr:row>
      <xdr:rowOff>30480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F6F512C-0A87-AD7D-6DC0-7688BE00126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53340</xdr:colOff>
      <xdr:row>23</xdr:row>
      <xdr:rowOff>15240</xdr:rowOff>
    </xdr:from>
    <xdr:to>
      <xdr:col>14</xdr:col>
      <xdr:colOff>579120</xdr:colOff>
      <xdr:row>27</xdr:row>
      <xdr:rowOff>320040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595B9899-1195-AEBF-9AFC-DA01C8BE68F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152400</xdr:colOff>
      <xdr:row>32</xdr:row>
      <xdr:rowOff>148590</xdr:rowOff>
    </xdr:from>
    <xdr:to>
      <xdr:col>12</xdr:col>
      <xdr:colOff>106680</xdr:colOff>
      <xdr:row>39</xdr:row>
      <xdr:rowOff>137160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A427626F-0D53-2FD4-5CB3-D96741CB1F9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</xdr:col>
      <xdr:colOff>144780</xdr:colOff>
      <xdr:row>45</xdr:row>
      <xdr:rowOff>53340</xdr:rowOff>
    </xdr:from>
    <xdr:to>
      <xdr:col>11</xdr:col>
      <xdr:colOff>236220</xdr:colOff>
      <xdr:row>51</xdr:row>
      <xdr:rowOff>83820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2BC6E841-48B5-51C3-9E94-BC8E26625CA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5</xdr:col>
      <xdr:colOff>274320</xdr:colOff>
      <xdr:row>54</xdr:row>
      <xdr:rowOff>175260</xdr:rowOff>
    </xdr:from>
    <xdr:to>
      <xdr:col>7</xdr:col>
      <xdr:colOff>975526</xdr:colOff>
      <xdr:row>59</xdr:row>
      <xdr:rowOff>22970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5498B19B-95B0-37CC-55D4-3A94F7C88A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322320" y="17807940"/>
          <a:ext cx="1920406" cy="1265030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ridevi Kamble" refreshedDate="46321.703504745368" createdVersion="8" refreshedVersion="8" minRefreshableVersion="3" recordCount="6" xr:uid="{210696A4-73CC-4739-A5EC-C3EC4CEB676A}">
  <cacheSource type="worksheet">
    <worksheetSource ref="A56:E62" sheet="Assignment-3-SJK"/>
  </cacheSource>
  <cacheFields count="5">
    <cacheField name="Month" numFmtId="0">
      <sharedItems/>
    </cacheField>
    <cacheField name="Product" numFmtId="0">
      <sharedItems/>
    </cacheField>
    <cacheField name="Region" numFmtId="0">
      <sharedItems count="4">
        <s v="North"/>
        <s v="East"/>
        <s v="South"/>
        <s v="West"/>
      </sharedItems>
    </cacheField>
    <cacheField name="Sales" numFmtId="0">
      <sharedItems containsSemiMixedTypes="0" containsString="0" containsNumber="1" containsInteger="1" minValue="4000" maxValue="9000"/>
    </cacheField>
    <cacheField name="Profit" numFmtId="0">
      <sharedItems containsSemiMixedTypes="0" containsString="0" containsNumber="1" containsInteger="1" minValue="1500" maxValue="4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">
  <r>
    <s v="January"/>
    <s v="Product A"/>
    <x v="0"/>
    <n v="5000"/>
    <n v="2000"/>
  </r>
  <r>
    <s v="February"/>
    <s v="Product B"/>
    <x v="1"/>
    <n v="4000"/>
    <n v="1500"/>
  </r>
  <r>
    <s v="March"/>
    <s v="Product C"/>
    <x v="2"/>
    <n v="6000"/>
    <n v="2500"/>
  </r>
  <r>
    <s v="April"/>
    <s v="Product A"/>
    <x v="0"/>
    <n v="7000"/>
    <n v="3000"/>
  </r>
  <r>
    <s v="May"/>
    <s v="Product B"/>
    <x v="3"/>
    <n v="8000"/>
    <n v="3500"/>
  </r>
  <r>
    <s v="June"/>
    <s v="Product C"/>
    <x v="1"/>
    <n v="9000"/>
    <n v="40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0170489-2CE4-4AC5-A2B4-6B4F741A2545}" name="PivotTable23" cacheId="3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8" firstHeaderRow="1" firstDataRow="1" firstDataCol="1"/>
  <pivotFields count="5">
    <pivotField showAll="0"/>
    <pivotField showAll="0"/>
    <pivotField axis="axisRow" showAll="0">
      <items count="5">
        <item x="1"/>
        <item x="0"/>
        <item x="2"/>
        <item x="3"/>
        <item t="default"/>
      </items>
    </pivotField>
    <pivotField dataField="1" showAll="0"/>
    <pivotField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244252-48C6-48AB-B290-430C77B39477}">
  <dimension ref="A3:B8"/>
  <sheetViews>
    <sheetView workbookViewId="0">
      <selection activeCell="H24" sqref="H24"/>
    </sheetView>
  </sheetViews>
  <sheetFormatPr defaultRowHeight="14.4" x14ac:dyDescent="0.3"/>
  <cols>
    <col min="1" max="1" width="12.5546875" bestFit="1" customWidth="1"/>
    <col min="2" max="2" width="11.6640625" bestFit="1" customWidth="1"/>
  </cols>
  <sheetData>
    <row r="3" spans="1:2" x14ac:dyDescent="0.3">
      <c r="A3" s="8" t="s">
        <v>29</v>
      </c>
      <c r="B3" t="s">
        <v>19</v>
      </c>
    </row>
    <row r="4" spans="1:2" x14ac:dyDescent="0.3">
      <c r="A4" s="9" t="s">
        <v>10</v>
      </c>
      <c r="B4">
        <v>13000</v>
      </c>
    </row>
    <row r="5" spans="1:2" x14ac:dyDescent="0.3">
      <c r="A5" s="9" t="s">
        <v>7</v>
      </c>
      <c r="B5">
        <v>12000</v>
      </c>
    </row>
    <row r="6" spans="1:2" x14ac:dyDescent="0.3">
      <c r="A6" s="9" t="s">
        <v>13</v>
      </c>
      <c r="B6">
        <v>6000</v>
      </c>
    </row>
    <row r="7" spans="1:2" x14ac:dyDescent="0.3">
      <c r="A7" s="9" t="s">
        <v>16</v>
      </c>
      <c r="B7">
        <v>8000</v>
      </c>
    </row>
    <row r="8" spans="1:2" x14ac:dyDescent="0.3">
      <c r="A8" s="9" t="s">
        <v>30</v>
      </c>
      <c r="B8">
        <v>39000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5C8CC5-1228-4E74-AEBB-AE27015EDA01}">
  <dimension ref="A1:I62"/>
  <sheetViews>
    <sheetView tabSelected="1" view="pageBreakPreview" topLeftCell="A34" zoomScale="60" zoomScaleNormal="100" workbookViewId="0">
      <selection activeCell="N58" sqref="N58"/>
    </sheetView>
  </sheetViews>
  <sheetFormatPr defaultRowHeight="14.4" x14ac:dyDescent="0.3"/>
  <cols>
    <col min="8" max="8" width="15.33203125" customWidth="1"/>
  </cols>
  <sheetData>
    <row r="1" spans="1:8" x14ac:dyDescent="0.3">
      <c r="A1" s="10" t="s">
        <v>20</v>
      </c>
      <c r="B1" s="10"/>
      <c r="C1" s="10"/>
      <c r="D1" s="10"/>
    </row>
    <row r="3" spans="1:8" x14ac:dyDescent="0.3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</row>
    <row r="4" spans="1:8" ht="27.6" x14ac:dyDescent="0.3">
      <c r="A4" s="2" t="s">
        <v>5</v>
      </c>
      <c r="B4" s="2" t="s">
        <v>6</v>
      </c>
      <c r="C4" s="2" t="s">
        <v>7</v>
      </c>
      <c r="D4" s="2">
        <v>5000</v>
      </c>
      <c r="E4" s="2">
        <v>2000</v>
      </c>
    </row>
    <row r="5" spans="1:8" ht="27.6" x14ac:dyDescent="0.3">
      <c r="A5" s="2" t="s">
        <v>8</v>
      </c>
      <c r="B5" s="2" t="s">
        <v>9</v>
      </c>
      <c r="C5" s="2" t="s">
        <v>10</v>
      </c>
      <c r="D5" s="2">
        <v>4000</v>
      </c>
      <c r="E5" s="2">
        <v>1500</v>
      </c>
    </row>
    <row r="6" spans="1:8" ht="27.6" x14ac:dyDescent="0.3">
      <c r="A6" s="2" t="s">
        <v>11</v>
      </c>
      <c r="B6" s="2" t="s">
        <v>12</v>
      </c>
      <c r="C6" s="2" t="s">
        <v>13</v>
      </c>
      <c r="D6" s="2">
        <v>6000</v>
      </c>
      <c r="E6" s="2">
        <v>2500</v>
      </c>
    </row>
    <row r="7" spans="1:8" ht="27.6" x14ac:dyDescent="0.3">
      <c r="A7" s="2" t="s">
        <v>14</v>
      </c>
      <c r="B7" s="2" t="s">
        <v>6</v>
      </c>
      <c r="C7" s="2" t="s">
        <v>7</v>
      </c>
      <c r="D7" s="2">
        <v>7000</v>
      </c>
      <c r="E7" s="2">
        <v>3000</v>
      </c>
      <c r="H7" t="s">
        <v>18</v>
      </c>
    </row>
    <row r="8" spans="1:8" ht="27.6" x14ac:dyDescent="0.3">
      <c r="A8" s="2" t="s">
        <v>15</v>
      </c>
      <c r="B8" s="2" t="s">
        <v>9</v>
      </c>
      <c r="C8" s="2" t="s">
        <v>16</v>
      </c>
      <c r="D8" s="2">
        <v>8000</v>
      </c>
      <c r="E8" s="2">
        <v>3500</v>
      </c>
    </row>
    <row r="9" spans="1:8" ht="27.6" x14ac:dyDescent="0.3">
      <c r="A9" s="2" t="s">
        <v>17</v>
      </c>
      <c r="B9" s="2" t="s">
        <v>12</v>
      </c>
      <c r="C9" s="2" t="s">
        <v>10</v>
      </c>
      <c r="D9" s="2">
        <v>9000</v>
      </c>
      <c r="E9" s="2">
        <v>4000</v>
      </c>
    </row>
    <row r="12" spans="1:8" x14ac:dyDescent="0.3">
      <c r="A12" s="11" t="s">
        <v>21</v>
      </c>
      <c r="B12" s="11"/>
      <c r="C12" s="11"/>
      <c r="D12" s="11"/>
      <c r="E12" s="11"/>
    </row>
    <row r="14" spans="1:8" ht="27.6" x14ac:dyDescent="0.3">
      <c r="A14" s="1" t="s">
        <v>0</v>
      </c>
      <c r="B14" s="1" t="s">
        <v>1</v>
      </c>
      <c r="C14" s="1" t="s">
        <v>2</v>
      </c>
      <c r="D14" s="1" t="s">
        <v>3</v>
      </c>
      <c r="E14" s="1" t="s">
        <v>4</v>
      </c>
      <c r="F14" s="5" t="s">
        <v>1</v>
      </c>
      <c r="G14" s="5" t="s">
        <v>22</v>
      </c>
    </row>
    <row r="15" spans="1:8" ht="27.6" x14ac:dyDescent="0.3">
      <c r="A15" s="2" t="s">
        <v>5</v>
      </c>
      <c r="B15" s="2" t="s">
        <v>6</v>
      </c>
      <c r="C15" s="2" t="s">
        <v>7</v>
      </c>
      <c r="D15" s="2">
        <v>5000</v>
      </c>
      <c r="E15" s="2">
        <v>2000</v>
      </c>
      <c r="F15" s="3" t="s">
        <v>6</v>
      </c>
      <c r="G15" s="4">
        <f>SUMIF($B$15:$B$20,F15,$E$15:$E$20)</f>
        <v>5000</v>
      </c>
    </row>
    <row r="16" spans="1:8" ht="27.6" x14ac:dyDescent="0.3">
      <c r="A16" s="2" t="s">
        <v>8</v>
      </c>
      <c r="B16" s="2" t="s">
        <v>9</v>
      </c>
      <c r="C16" s="2" t="s">
        <v>10</v>
      </c>
      <c r="D16" s="2">
        <v>4000</v>
      </c>
      <c r="E16" s="2">
        <v>1500</v>
      </c>
      <c r="F16" s="3" t="s">
        <v>9</v>
      </c>
      <c r="G16" s="4">
        <f t="shared" ref="G16:G17" si="0">SUMIF($B$15:$B$20,F16,$E$15:$E$20)</f>
        <v>5000</v>
      </c>
    </row>
    <row r="17" spans="1:9" ht="27.6" x14ac:dyDescent="0.3">
      <c r="A17" s="2" t="s">
        <v>11</v>
      </c>
      <c r="B17" s="2" t="s">
        <v>12</v>
      </c>
      <c r="C17" s="2" t="s">
        <v>13</v>
      </c>
      <c r="D17" s="2">
        <v>6000</v>
      </c>
      <c r="E17" s="2">
        <v>2500</v>
      </c>
      <c r="F17" s="16" t="s">
        <v>12</v>
      </c>
      <c r="G17" s="4">
        <f t="shared" si="0"/>
        <v>6500</v>
      </c>
    </row>
    <row r="18" spans="1:9" ht="27.6" x14ac:dyDescent="0.3">
      <c r="A18" s="2" t="s">
        <v>14</v>
      </c>
      <c r="B18" s="2" t="s">
        <v>6</v>
      </c>
      <c r="C18" s="2" t="s">
        <v>7</v>
      </c>
      <c r="D18" s="2">
        <v>7000</v>
      </c>
      <c r="E18" s="17">
        <v>3000</v>
      </c>
      <c r="F18" s="14"/>
      <c r="G18" s="15"/>
    </row>
    <row r="19" spans="1:9" ht="27.6" x14ac:dyDescent="0.3">
      <c r="A19" s="2" t="s">
        <v>15</v>
      </c>
      <c r="B19" s="2" t="s">
        <v>9</v>
      </c>
      <c r="C19" s="2" t="s">
        <v>16</v>
      </c>
      <c r="D19" s="2">
        <v>8000</v>
      </c>
      <c r="E19" s="17">
        <v>3500</v>
      </c>
      <c r="F19" s="14"/>
      <c r="G19" s="15"/>
    </row>
    <row r="20" spans="1:9" ht="27.6" x14ac:dyDescent="0.3">
      <c r="A20" s="2" t="s">
        <v>17</v>
      </c>
      <c r="B20" s="2" t="s">
        <v>12</v>
      </c>
      <c r="C20" s="2" t="s">
        <v>10</v>
      </c>
      <c r="D20" s="2">
        <v>9000</v>
      </c>
      <c r="E20" s="18">
        <v>4000</v>
      </c>
      <c r="F20" s="14"/>
      <c r="G20" s="15"/>
    </row>
    <row r="22" spans="1:9" ht="15" x14ac:dyDescent="0.35">
      <c r="A22" s="12" t="s">
        <v>23</v>
      </c>
      <c r="B22" s="12"/>
      <c r="C22" s="12"/>
      <c r="D22" s="12"/>
      <c r="E22" s="12"/>
    </row>
    <row r="24" spans="1:9" ht="55.2" x14ac:dyDescent="0.3">
      <c r="A24" s="1" t="s">
        <v>0</v>
      </c>
      <c r="B24" s="1" t="s">
        <v>1</v>
      </c>
      <c r="C24" s="1" t="s">
        <v>2</v>
      </c>
      <c r="D24" s="1" t="s">
        <v>3</v>
      </c>
      <c r="E24" s="1" t="s">
        <v>4</v>
      </c>
      <c r="G24" s="5" t="s">
        <v>2</v>
      </c>
      <c r="H24" s="7" t="s">
        <v>24</v>
      </c>
      <c r="I24" s="5" t="s">
        <v>25</v>
      </c>
    </row>
    <row r="25" spans="1:9" ht="27.6" x14ac:dyDescent="0.3">
      <c r="A25" s="2" t="s">
        <v>5</v>
      </c>
      <c r="B25" s="2" t="s">
        <v>6</v>
      </c>
      <c r="C25" s="2" t="s">
        <v>7</v>
      </c>
      <c r="D25" s="2">
        <v>5000</v>
      </c>
      <c r="E25" s="2">
        <v>2000</v>
      </c>
      <c r="G25" s="3" t="s">
        <v>7</v>
      </c>
      <c r="H25" s="4">
        <f>SUMIF($C$25:$C$30,G25,$D$25:$D$30)</f>
        <v>12000</v>
      </c>
      <c r="I25" s="6">
        <f>H25/SUM($H$25:$H$28)</f>
        <v>0.30769230769230771</v>
      </c>
    </row>
    <row r="26" spans="1:9" ht="27.6" x14ac:dyDescent="0.3">
      <c r="A26" s="2" t="s">
        <v>8</v>
      </c>
      <c r="B26" s="2" t="s">
        <v>9</v>
      </c>
      <c r="C26" s="2" t="s">
        <v>10</v>
      </c>
      <c r="D26" s="2">
        <v>4000</v>
      </c>
      <c r="E26" s="2">
        <v>1500</v>
      </c>
      <c r="G26" s="3" t="s">
        <v>10</v>
      </c>
      <c r="H26" s="4">
        <f t="shared" ref="H26:H27" si="1">SUMIF($C$25:$C$30,G26,$D$25:$D$30)</f>
        <v>13000</v>
      </c>
      <c r="I26" s="6">
        <f t="shared" ref="I26:I28" si="2">H26/SUM($H$25:$H$28)</f>
        <v>0.33333333333333331</v>
      </c>
    </row>
    <row r="27" spans="1:9" ht="27.6" x14ac:dyDescent="0.3">
      <c r="A27" s="2" t="s">
        <v>11</v>
      </c>
      <c r="B27" s="2" t="s">
        <v>12</v>
      </c>
      <c r="C27" s="2" t="s">
        <v>13</v>
      </c>
      <c r="D27" s="2">
        <v>6000</v>
      </c>
      <c r="E27" s="2">
        <v>2500</v>
      </c>
      <c r="G27" s="3" t="s">
        <v>13</v>
      </c>
      <c r="H27" s="4">
        <f t="shared" si="1"/>
        <v>6000</v>
      </c>
      <c r="I27" s="6">
        <f t="shared" si="2"/>
        <v>0.15384615384615385</v>
      </c>
    </row>
    <row r="28" spans="1:9" ht="27.6" x14ac:dyDescent="0.3">
      <c r="A28" s="2" t="s">
        <v>14</v>
      </c>
      <c r="B28" s="2" t="s">
        <v>6</v>
      </c>
      <c r="C28" s="2" t="s">
        <v>7</v>
      </c>
      <c r="D28" s="2">
        <v>7000</v>
      </c>
      <c r="E28" s="2">
        <v>3000</v>
      </c>
      <c r="G28" s="3" t="s">
        <v>16</v>
      </c>
      <c r="H28" s="4">
        <f>SUMIF($C$25:$C$30,G28,$D$25:$D$30)</f>
        <v>8000</v>
      </c>
      <c r="I28" s="6">
        <f t="shared" si="2"/>
        <v>0.20512820512820512</v>
      </c>
    </row>
    <row r="29" spans="1:9" ht="27.6" x14ac:dyDescent="0.3">
      <c r="A29" s="2" t="s">
        <v>15</v>
      </c>
      <c r="B29" s="2" t="s">
        <v>9</v>
      </c>
      <c r="C29" s="2" t="s">
        <v>16</v>
      </c>
      <c r="D29" s="2">
        <v>8000</v>
      </c>
      <c r="E29" s="2">
        <v>3500</v>
      </c>
    </row>
    <row r="30" spans="1:9" ht="27.6" x14ac:dyDescent="0.3">
      <c r="A30" s="2" t="s">
        <v>17</v>
      </c>
      <c r="B30" s="2" t="s">
        <v>12</v>
      </c>
      <c r="C30" s="2" t="s">
        <v>10</v>
      </c>
      <c r="D30" s="2">
        <v>9000</v>
      </c>
      <c r="E30" s="2">
        <v>4000</v>
      </c>
      <c r="G30" s="3"/>
      <c r="H30" s="4"/>
    </row>
    <row r="32" spans="1:9" ht="15" x14ac:dyDescent="0.35">
      <c r="A32" s="12" t="s">
        <v>26</v>
      </c>
      <c r="B32" s="12"/>
      <c r="C32" s="12"/>
      <c r="D32" s="12"/>
    </row>
    <row r="35" spans="1:7" x14ac:dyDescent="0.3">
      <c r="A35" s="1" t="s">
        <v>0</v>
      </c>
      <c r="B35" s="1" t="s">
        <v>1</v>
      </c>
      <c r="C35" s="1" t="s">
        <v>2</v>
      </c>
      <c r="D35" s="1" t="s">
        <v>3</v>
      </c>
      <c r="E35" s="1" t="s">
        <v>4</v>
      </c>
      <c r="F35" s="1" t="s">
        <v>0</v>
      </c>
      <c r="G35" s="1" t="s">
        <v>3</v>
      </c>
    </row>
    <row r="36" spans="1:7" ht="27.6" x14ac:dyDescent="0.3">
      <c r="A36" s="2" t="s">
        <v>5</v>
      </c>
      <c r="B36" s="2" t="s">
        <v>6</v>
      </c>
      <c r="C36" s="2" t="s">
        <v>7</v>
      </c>
      <c r="D36" s="2">
        <v>5000</v>
      </c>
      <c r="E36" s="2">
        <v>2000</v>
      </c>
      <c r="F36" s="2" t="s">
        <v>5</v>
      </c>
      <c r="G36" s="2">
        <v>5000</v>
      </c>
    </row>
    <row r="37" spans="1:7" ht="27.6" x14ac:dyDescent="0.3">
      <c r="A37" s="2" t="s">
        <v>8</v>
      </c>
      <c r="B37" s="2" t="s">
        <v>9</v>
      </c>
      <c r="C37" s="2" t="s">
        <v>10</v>
      </c>
      <c r="D37" s="2">
        <v>4000</v>
      </c>
      <c r="E37" s="2">
        <v>1500</v>
      </c>
      <c r="F37" s="2" t="s">
        <v>8</v>
      </c>
      <c r="G37" s="2">
        <v>4000</v>
      </c>
    </row>
    <row r="38" spans="1:7" ht="27.6" x14ac:dyDescent="0.3">
      <c r="A38" s="2" t="s">
        <v>11</v>
      </c>
      <c r="B38" s="2" t="s">
        <v>12</v>
      </c>
      <c r="C38" s="2" t="s">
        <v>13</v>
      </c>
      <c r="D38" s="2">
        <v>6000</v>
      </c>
      <c r="E38" s="2">
        <v>2500</v>
      </c>
      <c r="F38" s="2" t="s">
        <v>11</v>
      </c>
      <c r="G38" s="2">
        <v>6000</v>
      </c>
    </row>
    <row r="39" spans="1:7" ht="27.6" x14ac:dyDescent="0.3">
      <c r="A39" s="2" t="s">
        <v>14</v>
      </c>
      <c r="B39" s="2" t="s">
        <v>6</v>
      </c>
      <c r="C39" s="2" t="s">
        <v>7</v>
      </c>
      <c r="D39" s="2">
        <v>7000</v>
      </c>
      <c r="E39" s="2">
        <v>3000</v>
      </c>
      <c r="F39" s="2" t="s">
        <v>14</v>
      </c>
      <c r="G39" s="2">
        <v>7000</v>
      </c>
    </row>
    <row r="40" spans="1:7" ht="27.6" x14ac:dyDescent="0.3">
      <c r="A40" s="2" t="s">
        <v>15</v>
      </c>
      <c r="B40" s="2" t="s">
        <v>9</v>
      </c>
      <c r="C40" s="2" t="s">
        <v>16</v>
      </c>
      <c r="D40" s="2">
        <v>8000</v>
      </c>
      <c r="E40" s="2">
        <v>3500</v>
      </c>
      <c r="F40" s="2" t="s">
        <v>15</v>
      </c>
      <c r="G40" s="2">
        <v>8000</v>
      </c>
    </row>
    <row r="41" spans="1:7" ht="27.6" x14ac:dyDescent="0.3">
      <c r="A41" s="2" t="s">
        <v>17</v>
      </c>
      <c r="B41" s="2" t="s">
        <v>12</v>
      </c>
      <c r="C41" s="2" t="s">
        <v>10</v>
      </c>
      <c r="D41" s="2">
        <v>9000</v>
      </c>
      <c r="E41" s="2">
        <v>4000</v>
      </c>
      <c r="F41" s="2" t="s">
        <v>17</v>
      </c>
      <c r="G41" s="2">
        <v>9000</v>
      </c>
    </row>
    <row r="43" spans="1:7" x14ac:dyDescent="0.3">
      <c r="A43" s="10" t="s">
        <v>27</v>
      </c>
      <c r="B43" s="10"/>
      <c r="C43" s="10"/>
      <c r="D43" s="10"/>
    </row>
    <row r="46" spans="1:7" x14ac:dyDescent="0.3">
      <c r="A46" s="1" t="s">
        <v>0</v>
      </c>
      <c r="B46" s="1" t="s">
        <v>1</v>
      </c>
      <c r="C46" s="1" t="s">
        <v>2</v>
      </c>
      <c r="D46" s="1" t="s">
        <v>3</v>
      </c>
      <c r="E46" s="1" t="s">
        <v>4</v>
      </c>
    </row>
    <row r="47" spans="1:7" ht="27.6" x14ac:dyDescent="0.3">
      <c r="A47" s="2" t="s">
        <v>5</v>
      </c>
      <c r="B47" s="2" t="s">
        <v>6</v>
      </c>
      <c r="C47" s="2" t="s">
        <v>7</v>
      </c>
      <c r="D47" s="2">
        <v>5000</v>
      </c>
      <c r="E47" s="2">
        <v>2000</v>
      </c>
    </row>
    <row r="48" spans="1:7" ht="27.6" x14ac:dyDescent="0.3">
      <c r="A48" s="2" t="s">
        <v>8</v>
      </c>
      <c r="B48" s="2" t="s">
        <v>9</v>
      </c>
      <c r="C48" s="2" t="s">
        <v>10</v>
      </c>
      <c r="D48" s="2">
        <v>4000</v>
      </c>
      <c r="E48" s="2">
        <v>1500</v>
      </c>
    </row>
    <row r="49" spans="1:5" ht="27.6" x14ac:dyDescent="0.3">
      <c r="A49" s="2" t="s">
        <v>11</v>
      </c>
      <c r="B49" s="2" t="s">
        <v>12</v>
      </c>
      <c r="C49" s="2" t="s">
        <v>13</v>
      </c>
      <c r="D49" s="2">
        <v>6000</v>
      </c>
      <c r="E49" s="2">
        <v>2500</v>
      </c>
    </row>
    <row r="50" spans="1:5" ht="27.6" x14ac:dyDescent="0.3">
      <c r="A50" s="2" t="s">
        <v>14</v>
      </c>
      <c r="B50" s="2" t="s">
        <v>6</v>
      </c>
      <c r="C50" s="2" t="s">
        <v>7</v>
      </c>
      <c r="D50" s="2">
        <v>7000</v>
      </c>
      <c r="E50" s="2">
        <v>3000</v>
      </c>
    </row>
    <row r="51" spans="1:5" ht="27.6" x14ac:dyDescent="0.3">
      <c r="A51" s="2" t="s">
        <v>15</v>
      </c>
      <c r="B51" s="2" t="s">
        <v>9</v>
      </c>
      <c r="C51" s="2" t="s">
        <v>16</v>
      </c>
      <c r="D51" s="2">
        <v>8000</v>
      </c>
      <c r="E51" s="2">
        <v>3500</v>
      </c>
    </row>
    <row r="52" spans="1:5" ht="27.6" x14ac:dyDescent="0.3">
      <c r="A52" s="2" t="s">
        <v>17</v>
      </c>
      <c r="B52" s="2" t="s">
        <v>12</v>
      </c>
      <c r="C52" s="2" t="s">
        <v>10</v>
      </c>
      <c r="D52" s="2">
        <v>9000</v>
      </c>
      <c r="E52" s="2">
        <v>4000</v>
      </c>
    </row>
    <row r="54" spans="1:5" x14ac:dyDescent="0.3">
      <c r="A54" s="13" t="s">
        <v>28</v>
      </c>
      <c r="B54" s="13"/>
      <c r="C54" s="13"/>
      <c r="D54" s="13"/>
      <c r="E54" s="13"/>
    </row>
    <row r="56" spans="1:5" x14ac:dyDescent="0.3">
      <c r="A56" s="1" t="s">
        <v>0</v>
      </c>
      <c r="B56" s="1" t="s">
        <v>1</v>
      </c>
      <c r="C56" s="1" t="s">
        <v>2</v>
      </c>
      <c r="D56" s="1" t="s">
        <v>3</v>
      </c>
      <c r="E56" s="1" t="s">
        <v>4</v>
      </c>
    </row>
    <row r="57" spans="1:5" ht="27.6" x14ac:dyDescent="0.3">
      <c r="A57" s="2" t="s">
        <v>5</v>
      </c>
      <c r="B57" s="2" t="s">
        <v>6</v>
      </c>
      <c r="C57" s="2" t="s">
        <v>7</v>
      </c>
      <c r="D57" s="2">
        <v>5000</v>
      </c>
      <c r="E57" s="2">
        <v>2000</v>
      </c>
    </row>
    <row r="58" spans="1:5" ht="27.6" x14ac:dyDescent="0.3">
      <c r="A58" s="2" t="s">
        <v>8</v>
      </c>
      <c r="B58" s="2" t="s">
        <v>9</v>
      </c>
      <c r="C58" s="2" t="s">
        <v>10</v>
      </c>
      <c r="D58" s="2">
        <v>4000</v>
      </c>
      <c r="E58" s="2">
        <v>1500</v>
      </c>
    </row>
    <row r="59" spans="1:5" ht="27.6" x14ac:dyDescent="0.3">
      <c r="A59" s="2" t="s">
        <v>11</v>
      </c>
      <c r="B59" s="2" t="s">
        <v>12</v>
      </c>
      <c r="C59" s="2" t="s">
        <v>13</v>
      </c>
      <c r="D59" s="2">
        <v>6000</v>
      </c>
      <c r="E59" s="2">
        <v>2500</v>
      </c>
    </row>
    <row r="60" spans="1:5" ht="27.6" x14ac:dyDescent="0.3">
      <c r="A60" s="2" t="s">
        <v>14</v>
      </c>
      <c r="B60" s="2" t="s">
        <v>6</v>
      </c>
      <c r="C60" s="2" t="s">
        <v>7</v>
      </c>
      <c r="D60" s="2">
        <v>7000</v>
      </c>
      <c r="E60" s="2">
        <v>3000</v>
      </c>
    </row>
    <row r="61" spans="1:5" ht="27.6" x14ac:dyDescent="0.3">
      <c r="A61" s="2" t="s">
        <v>15</v>
      </c>
      <c r="B61" s="2" t="s">
        <v>9</v>
      </c>
      <c r="C61" s="2" t="s">
        <v>16</v>
      </c>
      <c r="D61" s="2">
        <v>8000</v>
      </c>
      <c r="E61" s="2">
        <v>3500</v>
      </c>
    </row>
    <row r="62" spans="1:5" ht="27.6" x14ac:dyDescent="0.3">
      <c r="A62" s="2" t="s">
        <v>17</v>
      </c>
      <c r="B62" s="2" t="s">
        <v>12</v>
      </c>
      <c r="C62" s="2" t="s">
        <v>10</v>
      </c>
      <c r="D62" s="2">
        <v>9000</v>
      </c>
      <c r="E62" s="2">
        <v>4000</v>
      </c>
    </row>
  </sheetData>
  <mergeCells count="6">
    <mergeCell ref="A54:E54"/>
    <mergeCell ref="A1:D1"/>
    <mergeCell ref="A12:E12"/>
    <mergeCell ref="A22:E22"/>
    <mergeCell ref="A32:D32"/>
    <mergeCell ref="A43:D43"/>
  </mergeCells>
  <pageMargins left="0.56999999999999995" right="0.08" top="0.35" bottom="0.39" header="0.3" footer="0.3"/>
  <pageSetup scale="71" orientation="portrait" r:id="rId1"/>
  <rowBreaks count="1" manualBreakCount="1">
    <brk id="42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PiVot Table</vt:lpstr>
      <vt:lpstr>Assignment-3-SJK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shridevi Kamble</dc:creator>
  <cp:lastModifiedBy>shridevi Kamble</cp:lastModifiedBy>
  <cp:lastPrinted>2026-10-26T11:30:11Z</cp:lastPrinted>
  <dcterms:created xsi:type="dcterms:W3CDTF">2026-10-26T08:31:52Z</dcterms:created>
  <dcterms:modified xsi:type="dcterms:W3CDTF">2026-10-26T11:30:13Z</dcterms:modified>
</cp:coreProperties>
</file>